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Rohan\Downloads\"/>
    </mc:Choice>
  </mc:AlternateContent>
  <xr:revisionPtr revIDLastSave="0" documentId="8_{D362CC7F-77E6-423B-9C64-9E60F102FC9C}" xr6:coauthVersionLast="47" xr6:coauthVersionMax="47" xr10:uidLastSave="{00000000-0000-0000-0000-000000000000}"/>
  <bookViews>
    <workbookView xWindow="-108" yWindow="-108" windowWidth="23256" windowHeight="1317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<sst xmlns="http://schemas.openxmlformats.org/spreadsheetml/2006/main" count="331" uniqueCount="155">
  <si>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</si>
  <si>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</si>
  <si>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</si>
  <si>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</si>
  <si>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</si>
  <si>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</si>
  <si>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</si>
  <si>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</si>
  <si>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</si>
  <si>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</si>
  <si>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</si>
  <si>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</si>
  <si>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</si>
  <si>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</si>
  <si>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</si>
  <si>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</si>
  <si>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</si>
  <si>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</si>
  <si>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</si>
  <si>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</si>
  <si>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</si>
  <si>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</si>
  <si>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</si>
  <si>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</si>
  <si>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</si>
  <si>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</si>
  <si>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</si>
  <si>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</si>
  <si>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</si>
  <si>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</si>
  <si>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</si>
  <si>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</si>
  <si>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</si>
  <si>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</si>
  <si>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</si>
  <si>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</si>
  <si>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</si>
  <si>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</si>
  <si>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</si>
  <si>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</si>
  <si>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</si>
  <si>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</si>
  <si>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</si>
  <si>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</si>
  <si>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</si>
  <si>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</si>
  <si>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</si>
  <si>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</si>
  <si>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</si>
  <si>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</si>
  <si>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</si>
  <si>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</si>
  <si>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</si>
  <si>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</si>
  <si>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</si>
  <si>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</si>
  <si>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</si>
  <si>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</si>
  <si>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</si>
  <si>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</si>
  <si>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</si>
  <si>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</si>
  <si>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</si>
  <si>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</si>
  <si>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</si>
  <si>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</si>
  <si>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</si>
  <si>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</si>
  <si>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</si>
  <si>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</si>
  <si>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</si>
  <si>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</si>
  <si>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</si>
  <si>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</si>
  <si>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</si>
  <si>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</si>
  <si>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</si>
  <si>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</si>
  <si>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</si>
  <si>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</si>
  <si>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</si>
  <si>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</si>
  <si>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</si>
  <si>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</si>
  <si>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</si>
  <si>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</si>
  <si>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</si>
  <si>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</si>
  <si>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</si>
  <si>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</si>
  <si>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</si>
  <si>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</si>
  <si>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</si>
  <si>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</si>
  <si>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</si>
  <si>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</si>
  <si>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</si>
  <si>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</si>
  <si>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</si>
  <si>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</si>
  <si>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</si>
  <si>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</si>
  <si>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</si>
  <si>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</si>
  <si>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</si>
  <si>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</si>
  <si>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</si>
  <si>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</si>
  <si>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</si>
  <si>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</si>
  <si>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</si>
  <si>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</si>
  <si>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</si>
  <si>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</si>
  <si>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</si>
  <si>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</si>
  <si>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</si>
  <si>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</si>
  <si>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</si>
  <si>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</si>
  <si>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</si>
  <si>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</si>
  <si>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</si>
  <si>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</si>
  <si>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</si>
  <si>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</si>
  <si>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</si>
  <si>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</si>
  <si>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</si>
  <si>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</si>
  <si>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</si>
  <si>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</si>
  <si>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</si>
  <si>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</si>
  <si>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</si>
  <si>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</si>
  <si>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</si>
  <si>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</si>
  <si>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</si>
  <si>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</si>
  <si>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</si>
  <si>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</si>
  <si>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</si>
  <si>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</si>
  <si>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</si>
  <si>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</si>
  <si>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</si>
  <si>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</si>
  <si>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</si>
  <si>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</si>
  <si>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</si>
  <si>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</si>
  <si>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3A</t>
  </si>
  <si>
    <t>Misha Ho-Sam-Sooi</t>
  </si>
  <si>
    <t>Rohan Dayal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</si>
</sst>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checked="Checked"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checked="Checked"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checked="Checked"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fmlaLink="'B1-K2-W3'!$L$26"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13" workbookViewId="0">
      <selection activeCell="D21" sqref="D21"/>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4" t="s">
        <v>36</v>
      </c>
      <c r="B15" s="105"/>
      <c r="C15" s="106"/>
    </row>
    <row r="16" spans="1:6" ht="14.25" customHeight="1" x14ac:dyDescent="0.3">
      <c r="A16" s="70" t="s">
        <v>37</v>
      </c>
      <c r="B16" s="107">
        <v>45590</v>
      </c>
      <c r="C16" s="108"/>
      <c r="D16" s="71" t="s">
        <v>106</v>
      </c>
    </row>
    <row r="17" spans="1:3" x14ac:dyDescent="0.3">
      <c r="A17" s="70" t="s">
        <v>38</v>
      </c>
      <c r="B17" s="101" t="s">
        <v>153</v>
      </c>
      <c r="C17" s="102"/>
    </row>
    <row r="18" spans="1:3" x14ac:dyDescent="0.3">
      <c r="A18" s="70" t="s">
        <v>39</v>
      </c>
      <c r="B18" s="99">
        <v>9024254</v>
      </c>
      <c r="C18" s="100"/>
    </row>
    <row r="19" spans="1:3" x14ac:dyDescent="0.3">
      <c r="A19" s="70" t="s">
        <v>40</v>
      </c>
      <c r="B19" s="101" t="s">
        <v>152</v>
      </c>
      <c r="C19" s="102"/>
    </row>
    <row r="20" spans="1:3" x14ac:dyDescent="0.3">
      <c r="A20" s="70" t="s">
        <v>107</v>
      </c>
      <c r="B20" s="101" t="s">
        <v>154</v>
      </c>
      <c r="C20" s="102"/>
    </row>
    <row r="21" spans="1:3" x14ac:dyDescent="0.3">
      <c r="A21" s="70" t="s">
        <v>108</v>
      </c>
      <c r="B21" s="101" t="s">
        <v>154</v>
      </c>
      <c r="C21" s="102"/>
    </row>
    <row r="22" spans="1:3" ht="15" thickBot="1" x14ac:dyDescent="0.35"/>
    <row r="23" spans="1:3" ht="15" thickBot="1" x14ac:dyDescent="0.35">
      <c r="A23" s="72" t="s">
        <v>26</v>
      </c>
      <c r="B23" s="73" t="s">
        <v>109</v>
      </c>
      <c r="C23" s="103" t="s">
        <v>110</v>
      </c>
    </row>
    <row r="24" spans="1:3" x14ac:dyDescent="0.3">
      <c r="A24" s="70" t="s">
        <v>63</v>
      </c>
      <c r="B24" s="74">
        <f>'B1-K2-W1'!B45</f>
        <v>10</v>
      </c>
      <c r="C24" s="103"/>
    </row>
    <row r="25" spans="1:3" x14ac:dyDescent="0.3">
      <c r="A25" s="70" t="s">
        <v>65</v>
      </c>
      <c r="B25" s="74">
        <v>6</v>
      </c>
      <c r="C25" s="103"/>
    </row>
    <row r="26" spans="1:3" x14ac:dyDescent="0.3">
      <c r="A26" s="70" t="s">
        <v>67</v>
      </c>
      <c r="B26" s="74" t="str">
        <f>'B1-K2-W3'!B41</f>
        <v/>
      </c>
      <c r="C26" s="103"/>
    </row>
    <row r="27" spans="1:3" x14ac:dyDescent="0.3">
      <c r="A27" s="16"/>
      <c r="B27" s="84"/>
      <c r="C27" s="83"/>
    </row>
    <row r="28" spans="1:3" x14ac:dyDescent="0.3">
      <c r="A28" s="85" t="s">
        <v>111</v>
      </c>
      <c r="B28" s="86" t="str" cm="1">
        <f t="array" ref="B28">IF(OR(B24:B26&lt;5.5),1,IF(OR(B24:B26=""),"",(AVERAGE(B24:B26))))</f>
        <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41"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Misha Ho-Sam-Sooi</v>
      </c>
      <c r="D15" s="10"/>
      <c r="E15" s="10"/>
      <c r="F15" s="10"/>
      <c r="G15" s="14"/>
    </row>
    <row r="16" spans="1:7" ht="22.5" customHeight="1" x14ac:dyDescent="0.3">
      <c r="B16" s="57" t="s">
        <v>39</v>
      </c>
      <c r="C16" s="82">
        <f>IF(Voorblad!B18="","",Voorblad!B18)</f>
        <v>9024254</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Rohan Dayal</v>
      </c>
      <c r="D18" s="10"/>
      <c r="E18" s="10"/>
      <c r="F18" s="10"/>
      <c r="G18" s="14"/>
    </row>
    <row r="19" spans="1:15" ht="22.5" customHeight="1" x14ac:dyDescent="0.3">
      <c r="B19" s="70" t="s">
        <v>108</v>
      </c>
      <c r="C19" s="79" t="str">
        <f>IF(Voorblad!B21="","",Voorblad!B21)</f>
        <v>Rohan Dayal</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
      </c>
    </row>
    <row r="43" spans="2:4" x14ac:dyDescent="0.3">
      <c r="B43" s="67">
        <v>11</v>
      </c>
      <c r="C43" s="68">
        <f t="shared" si="0"/>
        <v>9.2999999999999989</v>
      </c>
      <c r="D43" s="60" t="str">
        <f t="shared" si="1"/>
        <v/>
      </c>
    </row>
    <row r="44" spans="2:4" x14ac:dyDescent="0.3">
      <c r="B44" s="67">
        <v>12</v>
      </c>
      <c r="C44" s="68">
        <f t="shared" si="0"/>
        <v>10</v>
      </c>
      <c r="D44" s="60" t="str">
        <f t="shared" si="1"/>
        <v>X</v>
      </c>
    </row>
    <row r="45" spans="2:4" hidden="1" x14ac:dyDescent="0.3">
      <c r="B45" s="67">
        <f>IF(D32="X","",IF(D33="X",C33,IF(D34="X",C34,IF(D35="X",C35,IF(D36="X",C36,IF(D37="X",C37,IF(D38="X",C38,IF(D39="X",C39,IF(D40="X",C40,IF(D41="X",C41,IF(D42="X",C42,IF(D43="X",C43,IF(D44="X",C44,"")))))))))))))</f>
        <v>10</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37"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3</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Misha Ho-Sam-Sooi</v>
      </c>
      <c r="D15" s="10"/>
      <c r="E15" s="10"/>
      <c r="F15" s="10"/>
      <c r="G15" s="14"/>
    </row>
    <row r="16" spans="1:7" ht="22.5" customHeight="1" x14ac:dyDescent="0.3">
      <c r="B16" s="57" t="s">
        <v>39</v>
      </c>
      <c r="C16" s="82">
        <f>IF(Voorblad!B18="","",Voorblad!B18)</f>
        <v>9024254</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Rohan Dayal</v>
      </c>
      <c r="D18" s="10"/>
      <c r="E18" s="10"/>
      <c r="F18" s="10"/>
      <c r="G18" s="14"/>
    </row>
    <row r="19" spans="1:15" ht="22.5" customHeight="1" x14ac:dyDescent="0.3">
      <c r="B19" s="70" t="s">
        <v>108</v>
      </c>
      <c r="C19" s="79" t="str">
        <f>IF(Voorblad!B21="","",Voorblad!B21)</f>
        <v>Rohan Dayal</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1</v>
      </c>
      <c r="K24" s="58" t="b">
        <v>0</v>
      </c>
      <c r="L24" s="58"/>
      <c r="M24" s="58">
        <f>IF(L24=TRUE,3,IF(K24=TRUE,2,IF(J24=TRUE,1,IF(I24=TRUE,0,0))))</f>
        <v>1</v>
      </c>
      <c r="N24" s="58">
        <f>(4-COUNTBLANK(D24:G24))-1</f>
        <v>3</v>
      </c>
      <c r="O24" s="58">
        <f>COUNTA(I24:L24)</f>
        <v>3</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1</v>
      </c>
      <c r="K25" s="58" t="b">
        <v>0</v>
      </c>
      <c r="L25" s="58" t="b">
        <v>0</v>
      </c>
      <c r="M25" s="58">
        <f>IF(L25=TRUE,3,IF(K25=TRUE,2,IF(J25=TRUE,1,IF(I25=TRUE,0,0))))</f>
        <v>1</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1</v>
      </c>
      <c r="K26" s="58" t="b">
        <v>0</v>
      </c>
      <c r="L26" s="58" t="b">
        <v>0</v>
      </c>
      <c r="M26" s="58">
        <f>IF(L26=TRUE,3,IF(K26=TRUE,2,IF(J26=TRUE,1,IF(I26=TRUE,0,0))))</f>
        <v>1</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X</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4</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24"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Misha Ho-Sam-Sooi</v>
      </c>
      <c r="D15" s="10"/>
      <c r="E15" s="10"/>
      <c r="F15" s="10"/>
      <c r="G15" s="14"/>
    </row>
    <row r="16" spans="1:7" ht="22.5" customHeight="1" x14ac:dyDescent="0.3">
      <c r="B16" s="57" t="s">
        <v>39</v>
      </c>
      <c r="C16" s="82">
        <f>IF(Voorblad!B18="","",Voorblad!B18)</f>
        <v>9024254</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Rohan Dayal</v>
      </c>
      <c r="D18" s="10"/>
      <c r="E18" s="10"/>
      <c r="F18" s="10"/>
      <c r="G18" s="14"/>
    </row>
    <row r="19" spans="1:15" ht="22.5" customHeight="1" x14ac:dyDescent="0.3">
      <c r="B19" s="70" t="s">
        <v>108</v>
      </c>
      <c r="C19" s="79" t="str">
        <f>IF(Voorblad!B21="","",Voorblad!B21)</f>
        <v>Rohan Dayal</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0</v>
      </c>
      <c r="M24" s="58">
        <f>IF(L24=TRUE,3,IF(K24=TRUE,2,IF(J24=TRUE,1,IF(I24=TRUE,0,0))))</f>
        <v>0</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0</v>
      </c>
      <c r="M25" s="58">
        <f>IF(L25=TRUE,3,IF(K25=TRUE,2,IF(J25=TRUE,1,IF(I25=TRUE,0,0))))</f>
        <v>0</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c r="M26" s="58">
        <f>IF(L26=TRUE,3,IF(K26=TRUE,2,IF(J26=TRUE,1,IF(I26=TRUE,0,0))))</f>
        <v>0</v>
      </c>
      <c r="N26" s="58">
        <f>(4-COUNTBLANK(D26:G26))-1</f>
        <v>3</v>
      </c>
      <c r="O26" s="58">
        <f>COUNTA(I26:L26)</f>
        <v>2</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idden="1" x14ac:dyDescent="0.3">
      <c r="B41" s="67" t="str">
        <f>IF(D31="X","",IF(D32="X",C32,IF(D33="X",C33,IF(D34="X",C34,IF(D35="X",C35,IF(D36="X",C36,IF(D37="X",C37,IF(D38="X",C38,IF(D39="X",C39,IF(D40="X",C40,""))))))))))</f>
        <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Rohan Dayal</cp:lastModifiedBy>
  <cp:revision/>
  <dcterms:created xsi:type="dcterms:W3CDTF">2015-10-30T11:14:52Z</dcterms:created>
  <dcterms:modified xsi:type="dcterms:W3CDTF">2024-10-25T08:42:16Z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